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ent MEUR" sheetId="1" state="visible" r:id="rId1"/>
    <sheet xmlns:r="http://schemas.openxmlformats.org/officeDocument/2006/relationships" name="Cement EUR per t" sheetId="2" state="visible" r:id="rId2"/>
    <sheet xmlns:r="http://schemas.openxmlformats.org/officeDocument/2006/relationships" name="Electricity MEUR" sheetId="3" state="visible" r:id="rId3"/>
    <sheet xmlns:r="http://schemas.openxmlformats.org/officeDocument/2006/relationships" name="Electricity EUR per MWh" sheetId="4" state="visible" r:id="rId4"/>
    <sheet xmlns:r="http://schemas.openxmlformats.org/officeDocument/2006/relationships" name="Cement specific ranking" sheetId="5" state="visible" r:id="rId5"/>
    <sheet xmlns:r="http://schemas.openxmlformats.org/officeDocument/2006/relationships" name="Electricity specific ran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mean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'Cement MEUR'!B7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MEUR'!$A$8:$A$16</f>
            </numRef>
          </cat>
          <val>
            <numRef>
              <f>'Cement MEUR'!$B$8:$B$16</f>
            </numRef>
          </val>
        </ser>
        <gapWidth val="150"/>
        <axId val="10"/>
        <axId val="100"/>
      </barChart>
      <catAx>
        <axId val="10"/>
        <scaling>
          <orientation val="minMax"/>
          <max val="2000"/>
          <min val="-640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(million 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Deterministic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'Cement MEUR'!B22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MEUR'!$A$23:$A$31</f>
            </numRef>
          </cat>
          <val>
            <numRef>
              <f>'Cement MEUR'!$B$23:$B$31</f>
            </numRef>
          </val>
        </ser>
        <gapWidth val="150"/>
        <axId val="10"/>
        <axId val="100"/>
      </barChart>
      <catAx>
        <axId val="10"/>
        <scaling>
          <orientation val="minMax"/>
          <max val="2000"/>
          <min val="-640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(million 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mean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'Cement EUR per t'!B7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EUR per t'!$A$8:$A$16</f>
            </numRef>
          </cat>
          <val>
            <numRef>
              <f>'Cement EUR per t'!$B$8:$B$16</f>
            </numRef>
          </val>
        </ser>
        <gapWidth val="150"/>
        <axId val="10"/>
        <axId val="100"/>
      </barChart>
      <catAx>
        <axId val="10"/>
        <scaling>
          <orientation val="minMax"/>
          <max val="50"/>
          <min val="-25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(EUR/t)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Deterministic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'Cement EUR per t'!B22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EUR per t'!$A$23:$A$31</f>
            </numRef>
          </cat>
          <val>
            <numRef>
              <f>'Cement EUR per t'!$B$23:$B$31</f>
            </numRef>
          </val>
        </ser>
        <gapWidth val="150"/>
        <axId val="10"/>
        <axId val="100"/>
      </barChart>
      <catAx>
        <axId val="10"/>
        <scaling>
          <orientation val="minMax"/>
          <max val="50"/>
          <min val="-25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(EUR/t)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mean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'Electricity MEUR'!B7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MEUR'!$A$8:$A$16</f>
            </numRef>
          </cat>
          <val>
            <numRef>
              <f>'Electricity MEUR'!$B$8:$B$16</f>
            </numRef>
          </val>
        </ser>
        <gapWidth val="150"/>
        <axId val="10"/>
        <axId val="100"/>
      </barChart>
      <catAx>
        <axId val="10"/>
        <scaling>
          <orientation val="minMax"/>
          <max val="1000"/>
          <min val="-300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(million 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Deterministic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'Electricity MEUR'!B22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MEUR'!$A$23:$A$31</f>
            </numRef>
          </cat>
          <val>
            <numRef>
              <f>'Electricity MEUR'!$B$23:$B$31</f>
            </numRef>
          </val>
        </ser>
        <gapWidth val="150"/>
        <axId val="10"/>
        <axId val="100"/>
      </barChart>
      <catAx>
        <axId val="10"/>
        <scaling>
          <orientation val="minMax"/>
          <max val="1000"/>
          <min val="-300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(million 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mean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'Electricity EUR per MWh'!B7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EUR per MWh'!$A$8:$A$16</f>
            </numRef>
          </cat>
          <val>
            <numRef>
              <f>'Electricity EUR per MWh'!$B$8:$B$16</f>
            </numRef>
          </val>
        </ser>
        <gapWidth val="150"/>
        <axId val="10"/>
        <axId val="100"/>
      </barChart>
      <catAx>
        <axId val="10"/>
        <scaling>
          <orientation val="minMax"/>
          <max val="50"/>
          <min val="-15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(EUR/MWh)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Deterministic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'Electricity EUR per MWh'!B22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EUR per MWh'!$A$23:$A$31</f>
            </numRef>
          </cat>
          <val>
            <numRef>
              <f>'Electricity EUR per MWh'!$B$23:$B$31</f>
            </numRef>
          </val>
        </ser>
        <gapWidth val="150"/>
        <axId val="10"/>
        <axId val="100"/>
      </barChart>
      <catAx>
        <axId val="10"/>
        <scaling>
          <orientation val="minMax"/>
          <max val="50"/>
          <min val="-15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(EUR/MWh)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Specific NPV average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'Cement specific ranking'!B1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specific ranking'!$A$2:$A$10</f>
            </numRef>
          </cat>
          <val>
            <numRef>
              <f>'Cement specific ranking'!$B$2:$B$10</f>
            </numRef>
          </val>
        </ser>
        <gapWidth val="150"/>
        <axId val="10"/>
        <axId val="100"/>
      </barChart>
      <catAx>
        <axId val="10"/>
        <scaling>
          <orientation val="minMax"/>
          <max val="9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rank (1 = highest NPV)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Specific NPV average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'Electricity specific ranking'!B1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specific ranking'!$A$2:$A$10</f>
            </numRef>
          </cat>
          <val>
            <numRef>
              <f>'Electricity specific ranking'!$B$2:$B$10</f>
            </numRef>
          </val>
        </ser>
        <gapWidth val="150"/>
        <axId val="10"/>
        <axId val="100"/>
      </barChart>
      <catAx>
        <axId val="10"/>
        <scaling>
          <orientation val="minMax"/>
          <max val="9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rank (1 = highest NPV)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Technology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Shared x-axis minimum</t>
        </is>
      </c>
      <c r="B1" t="n">
        <v>-6400</v>
      </c>
    </row>
    <row r="2">
      <c r="A2" s="1" t="inlineStr">
        <is>
          <t>Shared x-axis maximum</t>
        </is>
      </c>
      <c r="B2" t="n">
        <v>2000</v>
      </c>
    </row>
    <row r="3">
      <c r="A3" s="1" t="inlineStr">
        <is>
          <t>Readable PNG tick labels</t>
        </is>
      </c>
      <c r="B3" t="inlineStr">
        <is>
          <t>-6000, -5000, -4000, -3000, -2000, -1000, 0, 1000, 2000</t>
        </is>
      </c>
    </row>
    <row r="4">
      <c r="A4" s="1" t="inlineStr">
        <is>
          <t>Suggested Excel major unit</t>
        </is>
      </c>
      <c r="B4" t="n">
        <v>200</v>
      </c>
    </row>
    <row r="5">
      <c r="A5" s="1" t="inlineStr">
        <is>
          <t>Use these limits for both charts on this sheet.</t>
        </is>
      </c>
    </row>
    <row r="6">
      <c r="A6" s="1" t="inlineStr">
        <is>
          <t>Monte Carlo mean</t>
        </is>
      </c>
    </row>
    <row r="7">
      <c r="A7" s="1" t="inlineStr">
        <is>
          <t>Technology</t>
        </is>
      </c>
      <c r="B7" s="1" t="inlineStr">
        <is>
          <t>Monte Carlo mean</t>
        </is>
      </c>
      <c r="C7" s="1" t="inlineStr">
        <is>
          <t>Median</t>
        </is>
      </c>
      <c r="D7" s="1" t="inlineStr">
        <is>
          <t>P05</t>
        </is>
      </c>
      <c r="E7" s="1" t="inlineStr">
        <is>
          <t>P95</t>
        </is>
      </c>
    </row>
    <row r="8">
      <c r="A8" t="inlineStr">
        <is>
          <t>CCS</t>
        </is>
      </c>
      <c r="B8" t="n">
        <v>500.2017782790609</v>
      </c>
      <c r="C8" t="n">
        <v>514.7642709625775</v>
      </c>
      <c r="D8" t="n">
        <v>170.6930047559586</v>
      </c>
      <c r="E8" t="n">
        <v>779.9595422298585</v>
      </c>
    </row>
    <row r="9">
      <c r="A9" t="inlineStr">
        <is>
          <t>Process heat integration</t>
        </is>
      </c>
      <c r="B9" t="n">
        <v>475.6941896140934</v>
      </c>
      <c r="C9" t="n">
        <v>475.491523393366</v>
      </c>
      <c r="D9" t="n">
        <v>398.7442284352807</v>
      </c>
      <c r="E9" t="n">
        <v>552.8555219771841</v>
      </c>
    </row>
    <row r="10">
      <c r="A10" t="inlineStr">
        <is>
          <t>Waste heat recovery</t>
        </is>
      </c>
      <c r="B10" t="n">
        <v>471.2026129360937</v>
      </c>
      <c r="C10" t="n">
        <v>472.1018608618962</v>
      </c>
      <c r="D10" t="n">
        <v>404.8470380597155</v>
      </c>
      <c r="E10" t="n">
        <v>533.8879598713839</v>
      </c>
    </row>
    <row r="11">
      <c r="A11" t="inlineStr">
        <is>
          <t>Clinker substitution</t>
        </is>
      </c>
      <c r="B11" t="n">
        <v>469.7929683675837</v>
      </c>
      <c r="C11" t="n">
        <v>469.6006958058992</v>
      </c>
      <c r="D11" t="n">
        <v>388.5257737875133</v>
      </c>
      <c r="E11" t="n">
        <v>551.6575660669456</v>
      </c>
    </row>
    <row r="12">
      <c r="A12" t="inlineStr">
        <is>
          <t>Alternative fuels</t>
        </is>
      </c>
      <c r="B12" t="n">
        <v>468.6366098192291</v>
      </c>
      <c r="C12" t="n">
        <v>468.6036323752699</v>
      </c>
      <c r="D12" t="n">
        <v>381.2315330633589</v>
      </c>
      <c r="E12" t="n">
        <v>556.3051878388088</v>
      </c>
    </row>
    <row r="13">
      <c r="A13" t="inlineStr">
        <is>
          <t>Efficiency improvement</t>
        </is>
      </c>
      <c r="B13" t="n">
        <v>448.6535815945402</v>
      </c>
      <c r="C13" t="n">
        <v>449.1239245447401</v>
      </c>
      <c r="D13" t="n">
        <v>376.1830407235988</v>
      </c>
      <c r="E13" t="n">
        <v>518.9933702545945</v>
      </c>
    </row>
    <row r="14">
      <c r="A14" t="inlineStr">
        <is>
          <t>BAU</t>
        </is>
      </c>
      <c r="B14" t="n">
        <v>435.9511923300896</v>
      </c>
      <c r="C14" t="n">
        <v>435.8163373852502</v>
      </c>
      <c r="D14" t="n">
        <v>363.1156459017835</v>
      </c>
      <c r="E14" t="n">
        <v>509.063931761101</v>
      </c>
    </row>
    <row r="15">
      <c r="A15" t="inlineStr">
        <is>
          <t>Electrification</t>
        </is>
      </c>
      <c r="B15" t="n">
        <v>-1116.067222679292</v>
      </c>
      <c r="C15" t="n">
        <v>-1141.268397401369</v>
      </c>
      <c r="D15" t="n">
        <v>-1684.497350889719</v>
      </c>
      <c r="E15" t="n">
        <v>-464.8763861827605</v>
      </c>
    </row>
    <row r="16">
      <c r="A16" t="inlineStr">
        <is>
          <t>Electrolysis</t>
        </is>
      </c>
      <c r="B16" t="n">
        <v>-4082.97279347688</v>
      </c>
      <c r="C16" t="n">
        <v>-3981.859379839997</v>
      </c>
      <c r="D16" t="n">
        <v>-6298.700279939405</v>
      </c>
      <c r="E16" t="n">
        <v>-2158.569280169569</v>
      </c>
    </row>
    <row r="21">
      <c r="A21" s="1" t="inlineStr">
        <is>
          <t>Deterministic</t>
        </is>
      </c>
    </row>
    <row r="22">
      <c r="A22" s="1" t="inlineStr">
        <is>
          <t>Technology</t>
        </is>
      </c>
      <c r="B22" s="1" t="inlineStr">
        <is>
          <t>Deterministic</t>
        </is>
      </c>
    </row>
    <row r="23">
      <c r="A23" t="inlineStr">
        <is>
          <t>CCS</t>
        </is>
      </c>
      <c r="B23" t="n">
        <v>529.5118848414027</v>
      </c>
    </row>
    <row r="24">
      <c r="A24" t="inlineStr">
        <is>
          <t>Process heat integration</t>
        </is>
      </c>
      <c r="B24" t="n">
        <v>510.9098974461475</v>
      </c>
    </row>
    <row r="25">
      <c r="A25" t="inlineStr">
        <is>
          <t>Waste heat recovery</t>
        </is>
      </c>
      <c r="B25" t="n">
        <v>505.7694820604093</v>
      </c>
    </row>
    <row r="26">
      <c r="A26" t="inlineStr">
        <is>
          <t>Alternative fuels</t>
        </is>
      </c>
      <c r="B26" t="n">
        <v>505.7101464393803</v>
      </c>
    </row>
    <row r="27">
      <c r="A27" t="inlineStr">
        <is>
          <t>Clinker substitution</t>
        </is>
      </c>
      <c r="B27" t="n">
        <v>503.0564641063715</v>
      </c>
    </row>
    <row r="28">
      <c r="A28" t="inlineStr">
        <is>
          <t>Efficiency improvement</t>
        </is>
      </c>
      <c r="B28" t="n">
        <v>485.0164349361573</v>
      </c>
    </row>
    <row r="29">
      <c r="A29" t="inlineStr">
        <is>
          <t>BAU</t>
        </is>
      </c>
      <c r="B29" t="n">
        <v>474.262109319749</v>
      </c>
    </row>
    <row r="30">
      <c r="A30" t="inlineStr">
        <is>
          <t>Electrification</t>
        </is>
      </c>
      <c r="B30" t="n">
        <v>-1088.031590057963</v>
      </c>
    </row>
    <row r="31">
      <c r="A31" t="inlineStr">
        <is>
          <t>Electrolysis</t>
        </is>
      </c>
      <c r="B31" t="n">
        <v>-4020.192425948364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Shared x-axis minimum</t>
        </is>
      </c>
      <c r="B1" t="n">
        <v>-250</v>
      </c>
    </row>
    <row r="2">
      <c r="A2" s="1" t="inlineStr">
        <is>
          <t>Shared x-axis maximum</t>
        </is>
      </c>
      <c r="B2" t="n">
        <v>50</v>
      </c>
    </row>
    <row r="3">
      <c r="A3" s="1" t="inlineStr">
        <is>
          <t>Readable PNG tick labels</t>
        </is>
      </c>
      <c r="B3" t="inlineStr">
        <is>
          <t>-250, -200, -150, -100, -50, 0, 50</t>
        </is>
      </c>
    </row>
    <row r="4">
      <c r="A4" s="1" t="inlineStr">
        <is>
          <t>Suggested Excel major unit</t>
        </is>
      </c>
      <c r="B4" t="n">
        <v>50</v>
      </c>
    </row>
    <row r="5">
      <c r="A5" s="1" t="inlineStr">
        <is>
          <t>Use these limits for both charts on this sheet.</t>
        </is>
      </c>
    </row>
    <row r="6">
      <c r="A6" s="1" t="inlineStr">
        <is>
          <t>Monte Carlo mean</t>
        </is>
      </c>
    </row>
    <row r="7">
      <c r="A7" s="1" t="inlineStr">
        <is>
          <t>Technology</t>
        </is>
      </c>
      <c r="B7" s="1" t="inlineStr">
        <is>
          <t>Monte Carlo mean</t>
        </is>
      </c>
      <c r="C7" s="1" t="inlineStr">
        <is>
          <t>Median</t>
        </is>
      </c>
      <c r="D7" s="1" t="inlineStr">
        <is>
          <t>P05</t>
        </is>
      </c>
      <c r="E7" s="1" t="inlineStr">
        <is>
          <t>P95</t>
        </is>
      </c>
    </row>
    <row r="8">
      <c r="A8" t="inlineStr">
        <is>
          <t>CCS</t>
        </is>
      </c>
      <c r="B8" t="n">
        <v>20.00807113116243</v>
      </c>
      <c r="C8" t="n">
        <v>20.5905708385031</v>
      </c>
      <c r="D8" t="n">
        <v>6.827720190238346</v>
      </c>
      <c r="E8" t="n">
        <v>31.19838168919434</v>
      </c>
    </row>
    <row r="9">
      <c r="A9" t="inlineStr">
        <is>
          <t>Process heat integration</t>
        </is>
      </c>
      <c r="B9" t="n">
        <v>19.02776758456374</v>
      </c>
      <c r="C9" t="n">
        <v>19.01966093573464</v>
      </c>
      <c r="D9" t="n">
        <v>15.94976913741123</v>
      </c>
      <c r="E9" t="n">
        <v>22.11422087908737</v>
      </c>
    </row>
    <row r="10">
      <c r="A10" t="inlineStr">
        <is>
          <t>Waste heat recovery</t>
        </is>
      </c>
      <c r="B10" t="n">
        <v>18.84810451744375</v>
      </c>
      <c r="C10" t="n">
        <v>18.88407443447585</v>
      </c>
      <c r="D10" t="n">
        <v>16.19388152238862</v>
      </c>
      <c r="E10" t="n">
        <v>21.35551839485536</v>
      </c>
    </row>
    <row r="11">
      <c r="A11" t="inlineStr">
        <is>
          <t>Clinker substitution</t>
        </is>
      </c>
      <c r="B11" t="n">
        <v>18.79171873470335</v>
      </c>
      <c r="C11" t="n">
        <v>18.78402783223597</v>
      </c>
      <c r="D11" t="n">
        <v>15.54103095150053</v>
      </c>
      <c r="E11" t="n">
        <v>22.06630264267783</v>
      </c>
    </row>
    <row r="12">
      <c r="A12" t="inlineStr">
        <is>
          <t>Alternative fuels</t>
        </is>
      </c>
      <c r="B12" t="n">
        <v>18.74546439276916</v>
      </c>
      <c r="C12" t="n">
        <v>18.7441452950108</v>
      </c>
      <c r="D12" t="n">
        <v>15.24926132253435</v>
      </c>
      <c r="E12" t="n">
        <v>22.25220751355236</v>
      </c>
    </row>
    <row r="13">
      <c r="A13" t="inlineStr">
        <is>
          <t>Efficiency improvement</t>
        </is>
      </c>
      <c r="B13" t="n">
        <v>17.94614326378161</v>
      </c>
      <c r="C13" t="n">
        <v>17.96495698178961</v>
      </c>
      <c r="D13" t="n">
        <v>15.04732162894395</v>
      </c>
      <c r="E13" t="n">
        <v>20.75973481018378</v>
      </c>
    </row>
    <row r="14">
      <c r="A14" t="inlineStr">
        <is>
          <t>BAU</t>
        </is>
      </c>
      <c r="B14" t="n">
        <v>17.43804769320358</v>
      </c>
      <c r="C14" t="n">
        <v>17.43265349541001</v>
      </c>
      <c r="D14" t="n">
        <v>14.52462583607134</v>
      </c>
      <c r="E14" t="n">
        <v>20.36255727044404</v>
      </c>
    </row>
    <row r="15">
      <c r="A15" t="inlineStr">
        <is>
          <t>Electrification</t>
        </is>
      </c>
      <c r="B15" t="n">
        <v>-44.64268890717167</v>
      </c>
      <c r="C15" t="n">
        <v>-45.65073589605476</v>
      </c>
      <c r="D15" t="n">
        <v>-67.37989403558875</v>
      </c>
      <c r="E15" t="n">
        <v>-18.59505544731042</v>
      </c>
    </row>
    <row r="16">
      <c r="A16" t="inlineStr">
        <is>
          <t>Electrolysis</t>
        </is>
      </c>
      <c r="B16" t="n">
        <v>-163.3189117390752</v>
      </c>
      <c r="C16" t="n">
        <v>-159.2743751935999</v>
      </c>
      <c r="D16" t="n">
        <v>-251.9480111975762</v>
      </c>
      <c r="E16" t="n">
        <v>-86.34277120678274</v>
      </c>
    </row>
    <row r="21">
      <c r="A21" s="1" t="inlineStr">
        <is>
          <t>Deterministic</t>
        </is>
      </c>
    </row>
    <row r="22">
      <c r="A22" s="1" t="inlineStr">
        <is>
          <t>Technology</t>
        </is>
      </c>
      <c r="B22" s="1" t="inlineStr">
        <is>
          <t>Deterministic</t>
        </is>
      </c>
    </row>
    <row r="23">
      <c r="A23" t="inlineStr">
        <is>
          <t>CCS</t>
        </is>
      </c>
      <c r="B23" t="n">
        <v>21.18047539365611</v>
      </c>
    </row>
    <row r="24">
      <c r="A24" t="inlineStr">
        <is>
          <t>Process heat integration</t>
        </is>
      </c>
      <c r="B24" t="n">
        <v>20.4363958978459</v>
      </c>
    </row>
    <row r="25">
      <c r="A25" t="inlineStr">
        <is>
          <t>Waste heat recovery</t>
        </is>
      </c>
      <c r="B25" t="n">
        <v>20.23077928241637</v>
      </c>
    </row>
    <row r="26">
      <c r="A26" t="inlineStr">
        <is>
          <t>Alternative fuels</t>
        </is>
      </c>
      <c r="B26" t="n">
        <v>20.22840585757521</v>
      </c>
    </row>
    <row r="27">
      <c r="A27" t="inlineStr">
        <is>
          <t>Clinker substitution</t>
        </is>
      </c>
      <c r="B27" t="n">
        <v>20.12225856425486</v>
      </c>
    </row>
    <row r="28">
      <c r="A28" t="inlineStr">
        <is>
          <t>Efficiency improvement</t>
        </is>
      </c>
      <c r="B28" t="n">
        <v>19.4006573974463</v>
      </c>
    </row>
    <row r="29">
      <c r="A29" t="inlineStr">
        <is>
          <t>BAU</t>
        </is>
      </c>
      <c r="B29" t="n">
        <v>18.97048437278996</v>
      </c>
    </row>
    <row r="30">
      <c r="A30" t="inlineStr">
        <is>
          <t>Electrification</t>
        </is>
      </c>
      <c r="B30" t="n">
        <v>-43.52126360231853</v>
      </c>
    </row>
    <row r="31">
      <c r="A31" t="inlineStr">
        <is>
          <t>Electrolysis</t>
        </is>
      </c>
      <c r="B31" t="n">
        <v>-160.8076970379346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Shared x-axis minimum</t>
        </is>
      </c>
      <c r="B1" t="n">
        <v>-3000</v>
      </c>
    </row>
    <row r="2">
      <c r="A2" s="1" t="inlineStr">
        <is>
          <t>Shared x-axis maximum</t>
        </is>
      </c>
      <c r="B2" t="n">
        <v>1000</v>
      </c>
    </row>
    <row r="3">
      <c r="A3" s="1" t="inlineStr">
        <is>
          <t>Readable PNG tick labels</t>
        </is>
      </c>
      <c r="B3" t="inlineStr">
        <is>
          <t>-3000, -2000, -1000, 0, 1000</t>
        </is>
      </c>
    </row>
    <row r="4">
      <c r="A4" s="1" t="inlineStr">
        <is>
          <t>Suggested Excel major unit</t>
        </is>
      </c>
      <c r="B4" t="n">
        <v>1000</v>
      </c>
    </row>
    <row r="5">
      <c r="A5" s="1" t="inlineStr">
        <is>
          <t>Use these limits for both charts on this sheet.</t>
        </is>
      </c>
    </row>
    <row r="6">
      <c r="A6" s="1" t="inlineStr">
        <is>
          <t>Monte Carlo mean</t>
        </is>
      </c>
    </row>
    <row r="7">
      <c r="A7" s="1" t="inlineStr">
        <is>
          <t>Technology</t>
        </is>
      </c>
      <c r="B7" s="1" t="inlineStr">
        <is>
          <t>Monte Carlo mean</t>
        </is>
      </c>
      <c r="C7" s="1" t="inlineStr">
        <is>
          <t>Median</t>
        </is>
      </c>
      <c r="D7" s="1" t="inlineStr">
        <is>
          <t>P05</t>
        </is>
      </c>
      <c r="E7" s="1" t="inlineStr">
        <is>
          <t>P95</t>
        </is>
      </c>
    </row>
    <row r="8">
      <c r="A8" t="inlineStr">
        <is>
          <t>PV</t>
        </is>
      </c>
      <c r="B8" t="n">
        <v>196.9031529835709</v>
      </c>
      <c r="C8" t="n">
        <v>196.9062414030583</v>
      </c>
      <c r="D8" t="n">
        <v>112.6001387411797</v>
      </c>
      <c r="E8" t="n">
        <v>281.8797243173759</v>
      </c>
    </row>
    <row r="9">
      <c r="A9" t="inlineStr">
        <is>
          <t>Wind Onshore</t>
        </is>
      </c>
      <c r="B9" t="n">
        <v>146.0280568492962</v>
      </c>
      <c r="C9" t="n">
        <v>145.9457266815144</v>
      </c>
      <c r="D9" t="n">
        <v>35.27701860790616</v>
      </c>
      <c r="E9" t="n">
        <v>257.1411552143991</v>
      </c>
    </row>
    <row r="10">
      <c r="A10" t="inlineStr">
        <is>
          <t>Wind Offshore</t>
        </is>
      </c>
      <c r="B10" t="n">
        <v>77.42227153242938</v>
      </c>
      <c r="C10" t="n">
        <v>77.87688851332624</v>
      </c>
      <c r="D10" t="n">
        <v>-64.3290331778002</v>
      </c>
      <c r="E10" t="n">
        <v>218.5349665656155</v>
      </c>
    </row>
    <row r="11">
      <c r="A11" t="inlineStr">
        <is>
          <t>CCGT</t>
        </is>
      </c>
      <c r="B11" t="n">
        <v>-325.2027171483128</v>
      </c>
      <c r="C11" t="n">
        <v>-297.2948084085604</v>
      </c>
      <c r="D11" t="n">
        <v>-809.0182141653479</v>
      </c>
      <c r="E11" t="n">
        <v>62.28717182169498</v>
      </c>
    </row>
    <row r="12">
      <c r="A12" t="inlineStr">
        <is>
          <t>CCGT + CCS</t>
        </is>
      </c>
      <c r="B12" t="n">
        <v>-424.1591711547182</v>
      </c>
      <c r="C12" t="n">
        <v>-393.5937674107093</v>
      </c>
      <c r="D12" t="n">
        <v>-990.608911264456</v>
      </c>
      <c r="E12" t="n">
        <v>35.95298916402968</v>
      </c>
    </row>
    <row r="13">
      <c r="A13" t="inlineStr">
        <is>
          <t>Nuclear</t>
        </is>
      </c>
      <c r="B13" t="n">
        <v>-594.407656802455</v>
      </c>
      <c r="C13" t="n">
        <v>-592.515953081713</v>
      </c>
      <c r="D13" t="n">
        <v>-1165.607219421967</v>
      </c>
      <c r="E13" t="n">
        <v>-25.3759452129649</v>
      </c>
    </row>
    <row r="14">
      <c r="A14" t="inlineStr">
        <is>
          <t>Hard coal</t>
        </is>
      </c>
      <c r="B14" t="n">
        <v>-728.2654085835904</v>
      </c>
      <c r="C14" t="n">
        <v>-722.3329167776594</v>
      </c>
      <c r="D14" t="n">
        <v>-872.4493967114804</v>
      </c>
      <c r="E14" t="n">
        <v>-604.0147911326083</v>
      </c>
    </row>
    <row r="15">
      <c r="A15" t="inlineStr">
        <is>
          <t>Hard coal + CCS</t>
        </is>
      </c>
      <c r="B15" t="n">
        <v>-784.6341478608247</v>
      </c>
      <c r="C15" t="n">
        <v>-785.0623553786744</v>
      </c>
      <c r="D15" t="n">
        <v>-1068.768716173323</v>
      </c>
      <c r="E15" t="n">
        <v>-503.6717295401465</v>
      </c>
    </row>
    <row r="16">
      <c r="A16" t="inlineStr">
        <is>
          <t>Biogas</t>
        </is>
      </c>
      <c r="B16" t="n">
        <v>-2615.920754233679</v>
      </c>
      <c r="C16" t="n">
        <v>-2615.795934186257</v>
      </c>
      <c r="D16" t="n">
        <v>-2960.069276190344</v>
      </c>
      <c r="E16" t="n">
        <v>-2270.004112525465</v>
      </c>
    </row>
    <row r="21">
      <c r="A21" s="1" t="inlineStr">
        <is>
          <t>Deterministic</t>
        </is>
      </c>
    </row>
    <row r="22">
      <c r="A22" s="1" t="inlineStr">
        <is>
          <t>Technology</t>
        </is>
      </c>
      <c r="B22" s="1" t="inlineStr">
        <is>
          <t>Deterministic</t>
        </is>
      </c>
    </row>
    <row r="23">
      <c r="A23" t="inlineStr">
        <is>
          <t>PV</t>
        </is>
      </c>
      <c r="B23" t="n">
        <v>201.4769987596995</v>
      </c>
    </row>
    <row r="24">
      <c r="A24" t="inlineStr">
        <is>
          <t>Wind Onshore</t>
        </is>
      </c>
      <c r="B24" t="n">
        <v>152.815627526474</v>
      </c>
    </row>
    <row r="25">
      <c r="A25" t="inlineStr">
        <is>
          <t>Wind Offshore</t>
        </is>
      </c>
      <c r="B25" t="n">
        <v>83.3711628232596</v>
      </c>
    </row>
    <row r="26">
      <c r="A26" t="inlineStr">
        <is>
          <t>CCGT</t>
        </is>
      </c>
      <c r="B26" t="n">
        <v>-320.1940596010768</v>
      </c>
    </row>
    <row r="27">
      <c r="A27" t="inlineStr">
        <is>
          <t>CCGT + CCS</t>
        </is>
      </c>
      <c r="B27" t="n">
        <v>-422.9083645681154</v>
      </c>
    </row>
    <row r="28">
      <c r="A28" t="inlineStr">
        <is>
          <t>Nuclear</t>
        </is>
      </c>
      <c r="B28" t="n">
        <v>-588.0224935101384</v>
      </c>
    </row>
    <row r="29">
      <c r="A29" t="inlineStr">
        <is>
          <t>Hard coal</t>
        </is>
      </c>
      <c r="B29" t="n">
        <v>-719.2197626180765</v>
      </c>
    </row>
    <row r="30">
      <c r="A30" t="inlineStr">
        <is>
          <t>Hard coal + CCS</t>
        </is>
      </c>
      <c r="B30" t="n">
        <v>-766.4732145812765</v>
      </c>
    </row>
    <row r="31">
      <c r="A31" t="inlineStr">
        <is>
          <t>Biogas</t>
        </is>
      </c>
      <c r="B31" t="n">
        <v>-2589.063398799321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Shared x-axis minimum</t>
        </is>
      </c>
      <c r="B1" t="n">
        <v>-150</v>
      </c>
    </row>
    <row r="2">
      <c r="A2" s="1" t="inlineStr">
        <is>
          <t>Shared x-axis maximum</t>
        </is>
      </c>
      <c r="B2" t="n">
        <v>50</v>
      </c>
    </row>
    <row r="3">
      <c r="A3" s="1" t="inlineStr">
        <is>
          <t>Readable PNG tick labels</t>
        </is>
      </c>
      <c r="B3" t="inlineStr">
        <is>
          <t>-150, -100, -50, 0, 50</t>
        </is>
      </c>
    </row>
    <row r="4">
      <c r="A4" s="1" t="inlineStr">
        <is>
          <t>Suggested Excel major unit</t>
        </is>
      </c>
      <c r="B4" t="n">
        <v>50</v>
      </c>
    </row>
    <row r="5">
      <c r="A5" s="1" t="inlineStr">
        <is>
          <t>Use these limits for both charts on this sheet.</t>
        </is>
      </c>
    </row>
    <row r="6">
      <c r="A6" s="1" t="inlineStr">
        <is>
          <t>Monte Carlo mean</t>
        </is>
      </c>
    </row>
    <row r="7">
      <c r="A7" s="1" t="inlineStr">
        <is>
          <t>Technology</t>
        </is>
      </c>
      <c r="B7" s="1" t="inlineStr">
        <is>
          <t>Monte Carlo mean</t>
        </is>
      </c>
      <c r="C7" s="1" t="inlineStr">
        <is>
          <t>Median</t>
        </is>
      </c>
      <c r="D7" s="1" t="inlineStr">
        <is>
          <t>P05</t>
        </is>
      </c>
      <c r="E7" s="1" t="inlineStr">
        <is>
          <t>P95</t>
        </is>
      </c>
    </row>
    <row r="8">
      <c r="A8" t="inlineStr">
        <is>
          <t>PV</t>
        </is>
      </c>
      <c r="B8" t="n">
        <v>6.5634384327857</v>
      </c>
      <c r="C8" t="n">
        <v>6.563541380101945</v>
      </c>
      <c r="D8" t="n">
        <v>3.753337958039322</v>
      </c>
      <c r="E8" t="n">
        <v>9.395990810579198</v>
      </c>
    </row>
    <row r="9">
      <c r="A9" t="inlineStr">
        <is>
          <t>Wind Onshore</t>
        </is>
      </c>
      <c r="B9" t="n">
        <v>5.841122273971847</v>
      </c>
      <c r="C9" t="n">
        <v>5.837829067260575</v>
      </c>
      <c r="D9" t="n">
        <v>1.411080744316247</v>
      </c>
      <c r="E9" t="n">
        <v>10.28564620857597</v>
      </c>
    </row>
    <row r="10">
      <c r="A10" t="inlineStr">
        <is>
          <t>Wind Offshore</t>
        </is>
      </c>
      <c r="B10" t="n">
        <v>3.096890861297174</v>
      </c>
      <c r="C10" t="n">
        <v>3.115075540533049</v>
      </c>
      <c r="D10" t="n">
        <v>-2.573161327112008</v>
      </c>
      <c r="E10" t="n">
        <v>8.741398662624622</v>
      </c>
    </row>
    <row r="11">
      <c r="A11" t="inlineStr">
        <is>
          <t>CCGT</t>
        </is>
      </c>
      <c r="B11" t="n">
        <v>-10.84009057161043</v>
      </c>
      <c r="C11" t="n">
        <v>-9.909826946952014</v>
      </c>
      <c r="D11" t="n">
        <v>-26.9672738055116</v>
      </c>
      <c r="E11" t="n">
        <v>2.076239060723166</v>
      </c>
    </row>
    <row r="12">
      <c r="A12" t="inlineStr">
        <is>
          <t>Nuclear</t>
        </is>
      </c>
      <c r="B12" t="n">
        <v>-13.20905904005456</v>
      </c>
      <c r="C12" t="n">
        <v>-13.16702117959362</v>
      </c>
      <c r="D12" t="n">
        <v>-25.90238265382149</v>
      </c>
      <c r="E12" t="n">
        <v>-0.5639098936214423</v>
      </c>
    </row>
    <row r="13">
      <c r="A13" t="inlineStr">
        <is>
          <t>CCGT + CCS</t>
        </is>
      </c>
      <c r="B13" t="n">
        <v>-14.13863903849061</v>
      </c>
      <c r="C13" t="n">
        <v>-13.11979224702365</v>
      </c>
      <c r="D13" t="n">
        <v>-33.02029704214853</v>
      </c>
      <c r="E13" t="n">
        <v>1.198432972134323</v>
      </c>
    </row>
    <row r="14">
      <c r="A14" t="inlineStr">
        <is>
          <t>Hard coal</t>
        </is>
      </c>
      <c r="B14" t="n">
        <v>-24.27551361945301</v>
      </c>
      <c r="C14" t="n">
        <v>-24.07776389258865</v>
      </c>
      <c r="D14" t="n">
        <v>-29.08164655704935</v>
      </c>
      <c r="E14" t="n">
        <v>-20.13382637108694</v>
      </c>
    </row>
    <row r="15">
      <c r="A15" t="inlineStr">
        <is>
          <t>Hard coal + CCS</t>
        </is>
      </c>
      <c r="B15" t="n">
        <v>-26.15447159536082</v>
      </c>
      <c r="C15" t="n">
        <v>-26.16874517928915</v>
      </c>
      <c r="D15" t="n">
        <v>-35.62562387244409</v>
      </c>
      <c r="E15" t="n">
        <v>-16.78905765133822</v>
      </c>
    </row>
    <row r="16">
      <c r="A16" t="inlineStr">
        <is>
          <t>Biogas</t>
        </is>
      </c>
      <c r="B16" t="n">
        <v>-104.6368301693472</v>
      </c>
      <c r="C16" t="n">
        <v>-104.6318373674503</v>
      </c>
      <c r="D16" t="n">
        <v>-118.4027710476137</v>
      </c>
      <c r="E16" t="n">
        <v>-90.8001645010186</v>
      </c>
    </row>
    <row r="21">
      <c r="A21" s="1" t="inlineStr">
        <is>
          <t>Deterministic</t>
        </is>
      </c>
    </row>
    <row r="22">
      <c r="A22" s="1" t="inlineStr">
        <is>
          <t>Technology</t>
        </is>
      </c>
      <c r="B22" s="1" t="inlineStr">
        <is>
          <t>Deterministic</t>
        </is>
      </c>
    </row>
    <row r="23">
      <c r="A23" t="inlineStr">
        <is>
          <t>PV</t>
        </is>
      </c>
      <c r="B23" t="n">
        <v>6.715899958656649</v>
      </c>
    </row>
    <row r="24">
      <c r="A24" t="inlineStr">
        <is>
          <t>Wind Onshore</t>
        </is>
      </c>
      <c r="B24" t="n">
        <v>6.11262510105896</v>
      </c>
    </row>
    <row r="25">
      <c r="A25" t="inlineStr">
        <is>
          <t>Wind Offshore</t>
        </is>
      </c>
      <c r="B25" t="n">
        <v>3.334846512930384</v>
      </c>
    </row>
    <row r="26">
      <c r="A26" t="inlineStr">
        <is>
          <t>CCGT</t>
        </is>
      </c>
      <c r="B26" t="n">
        <v>-10.67313532003589</v>
      </c>
    </row>
    <row r="27">
      <c r="A27" t="inlineStr">
        <is>
          <t>Nuclear</t>
        </is>
      </c>
      <c r="B27" t="n">
        <v>-13.06716652244752</v>
      </c>
    </row>
    <row r="28">
      <c r="A28" t="inlineStr">
        <is>
          <t>CCGT + CCS</t>
        </is>
      </c>
      <c r="B28" t="n">
        <v>-14.09694548560384</v>
      </c>
    </row>
    <row r="29">
      <c r="A29" t="inlineStr">
        <is>
          <t>Hard coal</t>
        </is>
      </c>
      <c r="B29" t="n">
        <v>-23.97399208726922</v>
      </c>
    </row>
    <row r="30">
      <c r="A30" t="inlineStr">
        <is>
          <t>Hard coal + CCS</t>
        </is>
      </c>
      <c r="B30" t="n">
        <v>-25.54910715270922</v>
      </c>
    </row>
    <row r="31">
      <c r="A31" t="inlineStr">
        <is>
          <t>Biogas</t>
        </is>
      </c>
      <c r="B31" t="n">
        <v>-103.5625359519728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Technology</t>
        </is>
      </c>
      <c r="B1" s="1" t="inlineStr">
        <is>
          <t>Average rank</t>
        </is>
      </c>
      <c r="C1" s="1" t="inlineStr">
        <is>
          <t>Probability rank 1</t>
        </is>
      </c>
      <c r="D1" s="1" t="inlineStr">
        <is>
          <t>Probability top 3</t>
        </is>
      </c>
    </row>
    <row r="2">
      <c r="A2" t="inlineStr">
        <is>
          <t>Process heat integration</t>
        </is>
      </c>
      <c r="B2" t="n">
        <v>2.99218</v>
      </c>
      <c r="C2" t="n">
        <v>0.12779</v>
      </c>
      <c r="D2" t="n">
        <v>0.66067</v>
      </c>
    </row>
    <row r="3">
      <c r="A3" t="inlineStr">
        <is>
          <t>Waste heat recovery</t>
        </is>
      </c>
      <c r="B3" t="n">
        <v>3.2293</v>
      </c>
      <c r="C3" t="n">
        <v>0.08764</v>
      </c>
      <c r="D3" t="n">
        <v>0.58195</v>
      </c>
    </row>
    <row r="4">
      <c r="A4" t="inlineStr">
        <is>
          <t>CCS</t>
        </is>
      </c>
      <c r="B4" t="n">
        <v>3.48662</v>
      </c>
      <c r="C4" t="n">
        <v>0.5213</v>
      </c>
      <c r="D4" t="n">
        <v>0.57755</v>
      </c>
    </row>
    <row r="5">
      <c r="A5" t="inlineStr">
        <is>
          <t>Clinker substitution</t>
        </is>
      </c>
      <c r="B5" t="n">
        <v>3.51494</v>
      </c>
      <c r="C5" t="n">
        <v>0.11829</v>
      </c>
      <c r="D5" t="n">
        <v>0.53482</v>
      </c>
    </row>
    <row r="6">
      <c r="A6" t="inlineStr">
        <is>
          <t>Alternative fuels</t>
        </is>
      </c>
      <c r="B6" t="n">
        <v>3.63431</v>
      </c>
      <c r="C6" t="n">
        <v>0.14076</v>
      </c>
      <c r="D6" t="n">
        <v>0.5246499999999999</v>
      </c>
    </row>
    <row r="7">
      <c r="A7" t="inlineStr">
        <is>
          <t>Efficiency improvement</t>
        </is>
      </c>
      <c r="B7" t="n">
        <v>4.9976</v>
      </c>
      <c r="C7" t="n">
        <v>0.00422</v>
      </c>
      <c r="D7" t="n">
        <v>0.11873</v>
      </c>
    </row>
    <row r="8">
      <c r="A8" t="inlineStr">
        <is>
          <t>BAU</t>
        </is>
      </c>
      <c r="B8" t="n">
        <v>6.14505</v>
      </c>
      <c r="C8" t="n">
        <v>0</v>
      </c>
      <c r="D8" t="n">
        <v>0.00163</v>
      </c>
    </row>
    <row r="9">
      <c r="A9" t="inlineStr">
        <is>
          <t>Electrification</t>
        </is>
      </c>
      <c r="B9" t="n">
        <v>8</v>
      </c>
      <c r="C9" t="n">
        <v>0</v>
      </c>
      <c r="D9" t="n">
        <v>0</v>
      </c>
    </row>
    <row r="10">
      <c r="A10" t="inlineStr">
        <is>
          <t>Electrolysis</t>
        </is>
      </c>
      <c r="B10" t="n">
        <v>9</v>
      </c>
      <c r="C10" t="n">
        <v>0</v>
      </c>
      <c r="D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Technology</t>
        </is>
      </c>
      <c r="B1" s="1" t="inlineStr">
        <is>
          <t>Average rank</t>
        </is>
      </c>
      <c r="C1" s="1" t="inlineStr">
        <is>
          <t>Probability rank 1</t>
        </is>
      </c>
      <c r="D1" s="1" t="inlineStr">
        <is>
          <t>Probability top 3</t>
        </is>
      </c>
    </row>
    <row r="2">
      <c r="A2" t="inlineStr">
        <is>
          <t>PV</t>
        </is>
      </c>
      <c r="B2" t="n">
        <v>1.65989</v>
      </c>
      <c r="C2" t="n">
        <v>0.46971</v>
      </c>
      <c r="D2" t="n">
        <v>0.99733</v>
      </c>
    </row>
    <row r="3">
      <c r="A3" t="inlineStr">
        <is>
          <t>Wind Onshore</t>
        </is>
      </c>
      <c r="B3" t="n">
        <v>1.8921</v>
      </c>
      <c r="C3" t="n">
        <v>0.37816</v>
      </c>
      <c r="D3" t="n">
        <v>0.98613</v>
      </c>
    </row>
    <row r="4">
      <c r="A4" t="inlineStr">
        <is>
          <t>Wind Offshore</t>
        </is>
      </c>
      <c r="B4" t="n">
        <v>2.60934</v>
      </c>
      <c r="C4" t="n">
        <v>0.14987</v>
      </c>
      <c r="D4" t="n">
        <v>0.9166</v>
      </c>
    </row>
    <row r="5">
      <c r="A5" t="inlineStr">
        <is>
          <t>CCGT</t>
        </is>
      </c>
      <c r="B5" t="n">
        <v>4.64436</v>
      </c>
      <c r="C5" t="n">
        <v>0.00068</v>
      </c>
      <c r="D5" t="n">
        <v>0.04995</v>
      </c>
    </row>
    <row r="6">
      <c r="A6" t="inlineStr">
        <is>
          <t>Nuclear</t>
        </is>
      </c>
      <c r="B6" t="n">
        <v>5.27184</v>
      </c>
      <c r="C6" t="n">
        <v>0</v>
      </c>
      <c r="D6" t="n">
        <v>0.02025</v>
      </c>
    </row>
    <row r="7">
      <c r="A7" t="inlineStr">
        <is>
          <t>CCGT + CCS</t>
        </is>
      </c>
      <c r="B7" t="n">
        <v>5.6709</v>
      </c>
      <c r="C7" t="n">
        <v>0.00158</v>
      </c>
      <c r="D7" t="n">
        <v>0.02974</v>
      </c>
    </row>
    <row r="8">
      <c r="A8" t="inlineStr">
        <is>
          <t>Hard coal</t>
        </is>
      </c>
      <c r="B8" t="n">
        <v>6.9983</v>
      </c>
      <c r="C8" t="n">
        <v>0</v>
      </c>
      <c r="D8" t="n">
        <v>0</v>
      </c>
    </row>
    <row r="9">
      <c r="A9" t="inlineStr">
        <is>
          <t>Hard coal + CCS</t>
        </is>
      </c>
      <c r="B9" t="n">
        <v>7.25327</v>
      </c>
      <c r="C9" t="n">
        <v>0</v>
      </c>
      <c r="D9" t="n">
        <v>0</v>
      </c>
    </row>
    <row r="10">
      <c r="A10" t="inlineStr">
        <is>
          <t>Biogas</t>
        </is>
      </c>
      <c r="B10" t="n">
        <v>9</v>
      </c>
      <c r="C10" t="n">
        <v>0</v>
      </c>
      <c r="D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2026-07-10T11:56:16Z</dcterms:created>
  <dcterms:modified xmlns:dcterms="http://purl.org/dc/terms/" xmlns:xsi="http://www.w3.org/2001/XMLSchema-instance" xsi:type="dcterms:W3CDTF">2026-07-10T11:56:23Z</dcterms:modified>
</cp:coreProperties>
</file>